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 Calculator" sheetId="1" state="visible" r:id="rId1"/>
    <sheet xmlns:r="http://schemas.openxmlformats.org/officeDocument/2006/relationships" name="Risk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3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44444"/>
      <sz val="10"/>
    </font>
    <font>
      <b val="1"/>
      <color rgb="00FFFFFF"/>
      <sz val="11"/>
    </font>
    <font>
      <b val="1"/>
      <sz val="11"/>
    </font>
    <font>
      <b val="1"/>
      <color rgb="00FFFFFF"/>
      <sz val="12"/>
    </font>
    <font>
      <b val="1"/>
      <color rgb="001F3864"/>
      <sz val="11"/>
    </font>
    <font>
      <b val="1"/>
      <color rgb="001D5C1D"/>
      <sz val="11"/>
    </font>
    <font>
      <b val="1"/>
      <color rgb="00FFFFFF"/>
      <sz val="13"/>
    </font>
    <font>
      <b val="1"/>
      <color rgb="00FFFFFF"/>
      <sz val="10"/>
    </font>
    <font>
      <b val="1"/>
      <color rgb="00FFFFFF"/>
      <sz val="9"/>
    </font>
    <font>
      <b val="1"/>
      <color rgb="001A1A1A"/>
      <sz val="10"/>
    </font>
    <font>
      <b val="1"/>
      <color rgb="00CC0000"/>
      <sz val="11"/>
    </font>
  </fonts>
  <fills count="2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4B5"/>
      </patternFill>
    </fill>
    <fill>
      <patternFill patternType="solid">
        <fgColor rgb="00FFFFFF"/>
      </patternFill>
    </fill>
    <fill>
      <patternFill patternType="solid">
        <fgColor rgb="00FFD7D7"/>
      </patternFill>
    </fill>
    <fill>
      <patternFill patternType="solid">
        <fgColor rgb="00F9F9F9"/>
      </patternFill>
    </fill>
    <fill>
      <patternFill patternType="solid">
        <fgColor rgb="00FFF3CC"/>
      </patternFill>
    </fill>
    <fill>
      <patternFill patternType="solid">
        <fgColor rgb="00D7F5D7"/>
      </patternFill>
    </fill>
    <fill>
      <patternFill patternType="solid">
        <fgColor rgb="00C00000"/>
      </patternFill>
    </fill>
    <fill>
      <patternFill patternType="solid">
        <fgColor rgb="00EFF4FF"/>
      </patternFill>
    </fill>
    <fill>
      <patternFill patternType="solid">
        <fgColor rgb="00FFAA00"/>
      </patternFill>
    </fill>
    <fill>
      <patternFill patternType="solid">
        <fgColor rgb="00FF6600"/>
      </patternFill>
    </fill>
    <fill>
      <patternFill patternType="solid">
        <fgColor rgb="00FF0000"/>
      </patternFill>
    </fill>
    <fill>
      <patternFill patternType="solid">
        <fgColor rgb="00CC0000"/>
      </patternFill>
    </fill>
    <fill>
      <patternFill patternType="solid">
        <fgColor rgb="00990000"/>
      </patternFill>
    </fill>
    <fill>
      <patternFill patternType="solid">
        <fgColor rgb="00FFCC00"/>
      </patternFill>
    </fill>
    <fill>
      <patternFill patternType="solid">
        <fgColor rgb="0099CC00"/>
      </patternFill>
    </fill>
    <fill>
      <patternFill patternType="solid">
        <fgColor rgb="0066CC00"/>
      </patternFill>
    </fill>
    <fill>
      <patternFill patternType="solid">
        <fgColor rgb="0033AA00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 wrapText="1"/>
    </xf>
    <xf numFmtId="164" fontId="0" fillId="5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  <xf numFmtId="164" fontId="0" fillId="7" borderId="1" applyAlignment="1" pivotButton="0" quotePrefix="0" xfId="0">
      <alignment horizontal="center" vertical="center"/>
    </xf>
    <xf numFmtId="9" fontId="0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164" fontId="3" fillId="10" borderId="1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0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/>
    </xf>
    <xf numFmtId="0" fontId="11" fillId="17" borderId="1" applyAlignment="1" pivotButton="0" quotePrefix="0" xfId="0">
      <alignment horizontal="center" vertical="center"/>
    </xf>
    <xf numFmtId="0" fontId="11" fillId="18" borderId="1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1" fillId="19" borderId="1" applyAlignment="1" pivotButton="0" quotePrefix="0" xfId="0">
      <alignment horizontal="center" vertical="center"/>
    </xf>
    <xf numFmtId="0" fontId="11" fillId="2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4" customWidth="1" min="4" max="4"/>
    <col width="12" customWidth="1" min="5" max="5"/>
    <col width="14" customWidth="1" min="6" max="6"/>
    <col width="12" customWidth="1" min="7" max="7"/>
  </cols>
  <sheetData>
    <row r="1" ht="32" customHeight="1">
      <c r="A1" s="1" t="inlineStr">
        <is>
          <t>ALE (Annualized Loss Expectancy) Calculator — CyArt Internship Week 2</t>
        </is>
      </c>
    </row>
    <row r="2">
      <c r="A2" s="2" t="inlineStr">
        <is>
          <t>Author: Ganavi N   |   Formula: ALE = SLE × ARO   |   SLE = Asset Value × Exposure Factor</t>
        </is>
      </c>
    </row>
    <row r="4" ht="22" customHeight="1">
      <c r="A4" s="3" t="inlineStr">
        <is>
          <t>Scenario</t>
        </is>
      </c>
      <c r="B4" s="3" t="inlineStr">
        <is>
          <t>Asset Value ($)</t>
        </is>
      </c>
      <c r="C4" s="3" t="inlineStr">
        <is>
          <t>Exposure Factor</t>
        </is>
      </c>
      <c r="D4" s="3" t="inlineStr">
        <is>
          <t>SLE ($)</t>
        </is>
      </c>
      <c r="E4" s="3" t="inlineStr">
        <is>
          <t>ARO</t>
        </is>
      </c>
      <c r="F4" s="3" t="inlineStr">
        <is>
          <t>ALE ($)</t>
        </is>
      </c>
      <c r="G4" s="3" t="inlineStr">
        <is>
          <t>Risk Level</t>
        </is>
      </c>
    </row>
    <row r="5" ht="20" customHeight="1">
      <c r="A5" s="4" t="inlineStr">
        <is>
          <t>Ransomware Attack</t>
        </is>
      </c>
      <c r="B5" s="5" t="n">
        <v>50000</v>
      </c>
      <c r="C5" s="6" t="n">
        <v>0.2</v>
      </c>
      <c r="D5" s="5">
        <f>B5*C5</f>
        <v/>
      </c>
      <c r="E5" s="6" t="n">
        <v>0.2</v>
      </c>
      <c r="F5" s="5">
        <f>D5*E5</f>
        <v/>
      </c>
      <c r="G5" s="7" t="inlineStr">
        <is>
          <t>HIGH</t>
        </is>
      </c>
    </row>
    <row r="6" ht="20" customHeight="1">
      <c r="A6" s="8" t="inlineStr">
        <is>
          <t>Data Breach</t>
        </is>
      </c>
      <c r="B6" s="9" t="n">
        <v>80000</v>
      </c>
      <c r="C6" s="10" t="n">
        <v>0.35</v>
      </c>
      <c r="D6" s="9">
        <f>B6*C6</f>
        <v/>
      </c>
      <c r="E6" s="10" t="n">
        <v>0.1</v>
      </c>
      <c r="F6" s="9">
        <f>D6*E6</f>
        <v/>
      </c>
      <c r="G6" s="7" t="inlineStr">
        <is>
          <t>HIGH</t>
        </is>
      </c>
    </row>
    <row r="7" ht="20" customHeight="1">
      <c r="A7" s="4" t="inlineStr">
        <is>
          <t>DDoS Attack</t>
        </is>
      </c>
      <c r="B7" s="5" t="n">
        <v>20000</v>
      </c>
      <c r="C7" s="6" t="n">
        <v>0.5</v>
      </c>
      <c r="D7" s="5">
        <f>B7*C7</f>
        <v/>
      </c>
      <c r="E7" s="6" t="n">
        <v>0.4</v>
      </c>
      <c r="F7" s="5">
        <f>D7*E7</f>
        <v/>
      </c>
      <c r="G7" s="11" t="inlineStr">
        <is>
          <t>MEDIUM</t>
        </is>
      </c>
    </row>
    <row r="8" ht="20" customHeight="1">
      <c r="A8" s="8" t="inlineStr">
        <is>
          <t>Insider Threat</t>
        </is>
      </c>
      <c r="B8" s="9" t="n">
        <v>60000</v>
      </c>
      <c r="C8" s="10" t="n">
        <v>0.25</v>
      </c>
      <c r="D8" s="9">
        <f>B8*C8</f>
        <v/>
      </c>
      <c r="E8" s="10" t="n">
        <v>0.05</v>
      </c>
      <c r="F8" s="9">
        <f>D8*E8</f>
        <v/>
      </c>
      <c r="G8" s="11" t="inlineStr">
        <is>
          <t>MEDIUM</t>
        </is>
      </c>
    </row>
    <row r="9" ht="20" customHeight="1">
      <c r="A9" s="4" t="inlineStr">
        <is>
          <t>Phishing Credential Theft</t>
        </is>
      </c>
      <c r="B9" s="5" t="n">
        <v>30000</v>
      </c>
      <c r="C9" s="6" t="n">
        <v>0.15</v>
      </c>
      <c r="D9" s="5">
        <f>B9*C9</f>
        <v/>
      </c>
      <c r="E9" s="6" t="n">
        <v>0.6</v>
      </c>
      <c r="F9" s="5">
        <f>D9*E9</f>
        <v/>
      </c>
      <c r="G9" s="7" t="inlineStr">
        <is>
          <t>HIGH</t>
        </is>
      </c>
    </row>
    <row r="10" ht="20" customHeight="1">
      <c r="A10" s="8" t="inlineStr">
        <is>
          <t>Physical Theft (Laptop)</t>
        </is>
      </c>
      <c r="B10" s="9" t="n">
        <v>15000</v>
      </c>
      <c r="C10" s="10" t="n">
        <v>0.8</v>
      </c>
      <c r="D10" s="9">
        <f>B10*C10</f>
        <v/>
      </c>
      <c r="E10" s="10" t="n">
        <v>0.15</v>
      </c>
      <c r="F10" s="9">
        <f>D10*E10</f>
        <v/>
      </c>
      <c r="G10" s="12" t="inlineStr">
        <is>
          <t>LOW</t>
        </is>
      </c>
    </row>
    <row r="12" ht="22" customHeight="1">
      <c r="A12" s="13" t="inlineStr">
        <is>
          <t>Total Annual Loss Exposure</t>
        </is>
      </c>
      <c r="F12" s="14">
        <f>SUM(F5:F10)</f>
        <v/>
      </c>
    </row>
    <row r="14" ht="22" customHeight="1">
      <c r="A14" s="15" t="inlineStr">
        <is>
          <t>Detailed Calculation — Ransomware Scenario (SLE=$10,000, ARO=0.2)</t>
        </is>
      </c>
    </row>
    <row r="15" ht="20" customHeight="1">
      <c r="A15" s="4" t="inlineStr">
        <is>
          <t>Asset Value</t>
        </is>
      </c>
      <c r="C15" s="16" t="inlineStr">
        <is>
          <t>$50,000</t>
        </is>
      </c>
      <c r="E15" s="4" t="inlineStr">
        <is>
          <t>Total value of affected data and systems</t>
        </is>
      </c>
    </row>
    <row r="16" ht="20" customHeight="1">
      <c r="A16" s="17" t="inlineStr">
        <is>
          <t>Exposure Factor (EF)</t>
        </is>
      </c>
      <c r="C16" s="17" t="inlineStr">
        <is>
          <t>20%</t>
        </is>
      </c>
      <c r="E16" s="17" t="inlineStr">
        <is>
          <t>Percentage of asset lost in single incident</t>
        </is>
      </c>
    </row>
    <row r="17" ht="20" customHeight="1">
      <c r="A17" s="4" t="inlineStr">
        <is>
          <t>Single Loss Expectancy (SLE)</t>
        </is>
      </c>
      <c r="C17" s="16">
        <f>Asset × EF = $10,000</f>
        <v/>
      </c>
      <c r="E17" s="4" t="inlineStr">
        <is>
          <t>Loss from one ransomware incident</t>
        </is>
      </c>
    </row>
    <row r="18" ht="20" customHeight="1">
      <c r="A18" s="17" t="inlineStr">
        <is>
          <t>Annualized Rate of Occurrence (ARO)</t>
        </is>
      </c>
      <c r="C18" s="17" t="inlineStr">
        <is>
          <t>0.2 (once every 5 years)</t>
        </is>
      </c>
      <c r="E18" s="17" t="inlineStr">
        <is>
          <t>How often ransomware hits per year</t>
        </is>
      </c>
    </row>
    <row r="19" ht="20" customHeight="1">
      <c r="A19" s="4" t="inlineStr">
        <is>
          <t>ALE = SLE × ARO</t>
        </is>
      </c>
      <c r="C19" s="16" t="inlineStr">
        <is>
          <t>$10,000 × 0.2 = $2,000/year</t>
        </is>
      </c>
      <c r="E19" s="4" t="inlineStr">
        <is>
          <t>Expected annual loss from ransomware</t>
        </is>
      </c>
    </row>
    <row r="20" ht="20" customHeight="1">
      <c r="A20" s="17" t="inlineStr">
        <is>
          <t>Control Cost (offline backup)</t>
        </is>
      </c>
      <c r="C20" s="18" t="inlineStr">
        <is>
          <t>$500/year</t>
        </is>
      </c>
      <c r="E20" s="17" t="inlineStr">
        <is>
          <t>Annual cost of implementing backup control</t>
        </is>
      </c>
    </row>
    <row r="21" ht="20" customHeight="1">
      <c r="A21" s="4" t="inlineStr">
        <is>
          <t>Residual ALE (after control)</t>
        </is>
      </c>
      <c r="C21" s="16" t="inlineStr">
        <is>
          <t>$500/year</t>
        </is>
      </c>
      <c r="E21" s="4" t="inlineStr">
        <is>
          <t>ALE reduced from $2,000 → $500 with backup</t>
        </is>
      </c>
    </row>
    <row r="22" ht="20" customHeight="1">
      <c r="A22" s="17" t="inlineStr">
        <is>
          <t>Cost-Benefit</t>
        </is>
      </c>
      <c r="C22" s="19" t="inlineStr">
        <is>
          <t>$1,500 savings/year ✅</t>
        </is>
      </c>
      <c r="E22" s="17" t="inlineStr">
        <is>
          <t>Control saves more than it costs → implement</t>
        </is>
      </c>
    </row>
  </sheetData>
  <mergeCells count="28">
    <mergeCell ref="A14:G14"/>
    <mergeCell ref="A15:B15"/>
    <mergeCell ref="E19:G19"/>
    <mergeCell ref="C15:D15"/>
    <mergeCell ref="E15:G15"/>
    <mergeCell ref="C20:D20"/>
    <mergeCell ref="A16:B16"/>
    <mergeCell ref="C16:D16"/>
    <mergeCell ref="C22:D22"/>
    <mergeCell ref="A18:B18"/>
    <mergeCell ref="E16:G16"/>
    <mergeCell ref="A12:E12"/>
    <mergeCell ref="A21:B21"/>
    <mergeCell ref="A1:G1"/>
    <mergeCell ref="C21:D21"/>
    <mergeCell ref="E22:G22"/>
    <mergeCell ref="E18:G18"/>
    <mergeCell ref="A17:B17"/>
    <mergeCell ref="E21:G21"/>
    <mergeCell ref="C17:D17"/>
    <mergeCell ref="A22:B22"/>
    <mergeCell ref="A20:B20"/>
    <mergeCell ref="A19:B19"/>
    <mergeCell ref="C19:D19"/>
    <mergeCell ref="E17:G17"/>
    <mergeCell ref="A2:G2"/>
    <mergeCell ref="C18:D18"/>
    <mergeCell ref="E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20" t="inlineStr">
        <is>
          <t>5×5 Risk Matrix — Likelihood vs Impact | CyArt Week 2</t>
        </is>
      </c>
    </row>
    <row r="2">
      <c r="B2" s="21" t="inlineStr">
        <is>
          <t>← IMPACT →</t>
        </is>
      </c>
    </row>
    <row r="3" ht="22" customHeight="1">
      <c r="A3" s="22" t="inlineStr">
        <is>
          <t>LIKELIHOOD ↓</t>
        </is>
      </c>
      <c r="B3" s="23" t="inlineStr">
        <is>
          <t>Very Low (1)</t>
        </is>
      </c>
      <c r="C3" s="23" t="inlineStr">
        <is>
          <t>Low (2)</t>
        </is>
      </c>
      <c r="D3" s="23" t="inlineStr">
        <is>
          <t>Medium (3)</t>
        </is>
      </c>
      <c r="E3" s="23" t="inlineStr">
        <is>
          <t>High (4)</t>
        </is>
      </c>
      <c r="F3" s="23" t="inlineStr">
        <is>
          <t>Critical (5)</t>
        </is>
      </c>
    </row>
    <row r="4" ht="28" customHeight="1">
      <c r="A4" s="23" t="inlineStr">
        <is>
          <t>Almost Certain (5)</t>
        </is>
      </c>
      <c r="B4" s="24" t="inlineStr">
        <is>
          <t>Medium</t>
        </is>
      </c>
      <c r="C4" s="25" t="inlineStr">
        <is>
          <t>High</t>
        </is>
      </c>
      <c r="D4" s="26" t="inlineStr">
        <is>
          <t>Critical</t>
        </is>
      </c>
      <c r="E4" s="27" t="inlineStr">
        <is>
          <t>Critical</t>
        </is>
      </c>
      <c r="F4" s="28" t="inlineStr">
        <is>
          <t>Critical</t>
        </is>
      </c>
    </row>
    <row r="5" ht="28" customHeight="1">
      <c r="A5" s="23" t="inlineStr">
        <is>
          <t>Likely (4)</t>
        </is>
      </c>
      <c r="B5" s="29" t="inlineStr">
        <is>
          <t>Low</t>
        </is>
      </c>
      <c r="C5" s="24" t="inlineStr">
        <is>
          <t>Medium</t>
        </is>
      </c>
      <c r="D5" s="25" t="inlineStr">
        <is>
          <t>High</t>
        </is>
      </c>
      <c r="E5" s="26" t="inlineStr">
        <is>
          <t>Critical</t>
        </is>
      </c>
      <c r="F5" s="27" t="inlineStr">
        <is>
          <t>Critical</t>
        </is>
      </c>
    </row>
    <row r="6" ht="28" customHeight="1">
      <c r="A6" s="23" t="inlineStr">
        <is>
          <t>Possible (3)</t>
        </is>
      </c>
      <c r="B6" s="30" t="inlineStr">
        <is>
          <t>Low</t>
        </is>
      </c>
      <c r="C6" s="29" t="inlineStr">
        <is>
          <t>Low</t>
        </is>
      </c>
      <c r="D6" s="24" t="inlineStr">
        <is>
          <t>Medium</t>
        </is>
      </c>
      <c r="E6" s="25" t="inlineStr">
        <is>
          <t>High</t>
        </is>
      </c>
      <c r="F6" s="31" t="inlineStr">
        <is>
          <t>★ RANSOMWARE</t>
        </is>
      </c>
    </row>
    <row r="7" ht="28" customHeight="1">
      <c r="A7" s="23" t="inlineStr">
        <is>
          <t>Unlikely (2)</t>
        </is>
      </c>
      <c r="B7" s="32" t="inlineStr">
        <is>
          <t>Very Low</t>
        </is>
      </c>
      <c r="C7" s="30" t="inlineStr">
        <is>
          <t>Low</t>
        </is>
      </c>
      <c r="D7" s="29" t="inlineStr">
        <is>
          <t>Low</t>
        </is>
      </c>
      <c r="E7" s="24" t="inlineStr">
        <is>
          <t>Medium</t>
        </is>
      </c>
      <c r="F7" s="25" t="inlineStr">
        <is>
          <t>High</t>
        </is>
      </c>
    </row>
    <row r="8" ht="28" customHeight="1">
      <c r="A8" s="23" t="inlineStr">
        <is>
          <t>Rare (1)</t>
        </is>
      </c>
      <c r="B8" s="33" t="inlineStr">
        <is>
          <t>Very Low</t>
        </is>
      </c>
      <c r="C8" s="32" t="inlineStr">
        <is>
          <t>Very Low</t>
        </is>
      </c>
      <c r="D8" s="30" t="inlineStr">
        <is>
          <t>Low</t>
        </is>
      </c>
      <c r="E8" s="29" t="inlineStr">
        <is>
          <t>Low</t>
        </is>
      </c>
      <c r="F8" s="24" t="inlineStr">
        <is>
          <t>Medium</t>
        </is>
      </c>
    </row>
    <row r="10" ht="20" customHeight="1">
      <c r="A10" s="34" t="inlineStr">
        <is>
          <t>Ransomware: Likelihood=Possible(3), Impact=Critical(5) → HIGH Risk → Implement backup controls</t>
        </is>
      </c>
    </row>
  </sheetData>
  <mergeCells count="3">
    <mergeCell ref="B2:F2"/>
    <mergeCell ref="A1:G1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2026-05-13T07:23:10Z</dcterms:created>
  <dcterms:modified xmlns:dcterms="http://purl.org/dc/terms/" xmlns:xsi="http://www.w3.org/2001/XMLSchema-instance" xsi:type="dcterms:W3CDTF">2026-05-13T07:23:10Z</dcterms:modified>
</cp:coreProperties>
</file>